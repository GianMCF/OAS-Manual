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nglish Estimate" sheetId="1" r:id="rId4"/>
    <sheet state="visible" name="Estimación Español" sheetId="2" r:id="rId5"/>
  </sheets>
  <definedNames/>
  <calcPr/>
  <extLst>
    <ext uri="GoogleSheetsCustomDataVersion2">
      <go:sheetsCustomData xmlns:go="http://customooxmlschemas.google.com/" r:id="rId6" roundtripDataChecksum="QrJ6xWzHxPTqa56QESFIHuI3M3u5gDNH99P/529wQCo="/>
    </ext>
  </extLst>
</workbook>
</file>

<file path=xl/sharedStrings.xml><?xml version="1.0" encoding="utf-8"?>
<sst xmlns="http://schemas.openxmlformats.org/spreadsheetml/2006/main" count="108" uniqueCount="67">
  <si>
    <t>TCC - PRI Deployment | AWS 3-Service Estimate</t>
  </si>
  <si>
    <t>Estimated monthly and 12-month cost for the deployment architecture</t>
  </si>
  <si>
    <t>Upfront cost</t>
  </si>
  <si>
    <t>Monthly cost</t>
  </si>
  <si>
    <t>Total 12 months cost</t>
  </si>
  <si>
    <t>Currency</t>
  </si>
  <si>
    <t>Service</t>
  </si>
  <si>
    <t>Amazon EC2</t>
  </si>
  <si>
    <t>S3 Standard</t>
  </si>
  <si>
    <t>Detailed Estimate</t>
  </si>
  <si>
    <t>Data Transfer</t>
  </si>
  <si>
    <t>Group hierarchy</t>
  </si>
  <si>
    <t>Region</t>
  </si>
  <si>
    <t>Description</t>
  </si>
  <si>
    <t>Upfront</t>
  </si>
  <si>
    <t>Monthly</t>
  </si>
  <si>
    <t>First 12 months total</t>
  </si>
  <si>
    <t>Status</t>
  </si>
  <si>
    <t>Configuration summary</t>
  </si>
  <si>
    <t>TCC - PRI Deployment</t>
  </si>
  <si>
    <t>US East (N. Virginia)</t>
  </si>
  <si>
    <r>
      <rPr>
        <rFont val="Carlito"/>
        <color theme="1"/>
        <sz val="11.0"/>
      </rPr>
      <t xml:space="preserve">Service for the MongoDB </t>
    </r>
    <r>
      <rPr>
        <rFont val="Carlito"/>
        <b/>
        <color theme="1"/>
        <sz val="11.0"/>
      </rPr>
      <t xml:space="preserve">Database </t>
    </r>
    <r>
      <rPr>
        <rFont val="Carlito"/>
        <color theme="1"/>
        <sz val="11.0"/>
      </rPr>
      <t>in an EC2 instance.</t>
    </r>
  </si>
  <si>
    <t>USD</t>
  </si>
  <si>
    <t>Tenancy (Shared Instances), Operating system (Linux), Workload (Consistent, Number of instances: 1), Advance EC2 instance (t2.micro), Pricing strategy (EC2 Instance Savings Plans 3yr No Upfront), Enable monitoring (disabled), Data Transfer inbound/outbound/intra-region: not selected (0 TB per month).</t>
  </si>
  <si>
    <r>
      <rPr>
        <rFont val="Carlito"/>
        <color theme="1"/>
        <sz val="11.0"/>
      </rPr>
      <t xml:space="preserve">Service for the </t>
    </r>
    <r>
      <rPr>
        <rFont val="Carlito"/>
        <b/>
        <color theme="1"/>
        <sz val="11.0"/>
      </rPr>
      <t xml:space="preserve">Backend </t>
    </r>
    <r>
      <rPr>
        <rFont val="Carlito"/>
        <color theme="1"/>
        <sz val="11.0"/>
      </rPr>
      <t>of the project, deployed with Elastic Beanstalk.</t>
    </r>
  </si>
  <si>
    <t>Tenancy (Shared Instances), Operating system (Linux), Workload (Consistent, Number of instances: 1), Advance EC2 instance (t3.micro), Pricing strategy (Compute Savings Plans 3yr No Upfront), Enable monitoring (disabled), EBS storage amount (8 GB), Data Transfer inbound/outbound/intra-region: not selected (0 TB per month).</t>
  </si>
  <si>
    <r>
      <rPr>
        <rFont val="Carlito"/>
        <color theme="1"/>
        <sz val="11.0"/>
      </rPr>
      <t xml:space="preserve">Service for the </t>
    </r>
    <r>
      <rPr>
        <rFont val="Carlito"/>
        <b/>
        <color theme="1"/>
        <sz val="11.0"/>
      </rPr>
      <t xml:space="preserve">Frontend </t>
    </r>
    <r>
      <rPr>
        <rFont val="Carlito"/>
        <color theme="1"/>
        <sz val="11.0"/>
      </rPr>
      <t>of the project, deployed with the files in its /dist folder.</t>
    </r>
  </si>
  <si>
    <t>PUT, COPY, POST, LIST requests to S3 Standard (10,000), GET, SELECT and all other requests from S3 Standard (10,000), S3 Standard storage (1 GB per month).</t>
  </si>
  <si>
    <t>Data Tranfer Estimate</t>
  </si>
  <si>
    <t>Data Transfer inbound from Internet (5 GB per month), Data Transfer outbound to Internet (5 GB per month).</t>
  </si>
  <si>
    <t>TOTAL</t>
  </si>
  <si>
    <t>Notes</t>
  </si>
  <si>
    <t>Purpose</t>
  </si>
  <si>
    <t>Estimate for a 3-service deployment required in the rubric: EC2 backend, S3/static frontend storage and data transfer.</t>
  </si>
  <si>
    <t>Interpretation</t>
  </si>
  <si>
    <t>The 12-month total is calculated from the monthly costs. Upfront cost is zero in this estimate.</t>
  </si>
  <si>
    <t>Acknowledgement</t>
  </si>
  <si>
    <t>AWS Pricing Calculator provides an estimate only. Actual charges may vary based on real usage, taxes and service configuration.</t>
  </si>
  <si>
    <t>TCC - Despliegue PRI | Estimación AWS de 3 servicios</t>
  </si>
  <si>
    <t>Costo estimado mensual y de 12 meses para la arquitectura de despliegue</t>
  </si>
  <si>
    <t>Costo inicial</t>
  </si>
  <si>
    <t>Costo mensual</t>
  </si>
  <si>
    <t>Costo total 12 meses</t>
  </si>
  <si>
    <t>Moneda</t>
  </si>
  <si>
    <t>Servicio</t>
  </si>
  <si>
    <t>Estimación detallada</t>
  </si>
  <si>
    <t>Transferencia de Datos</t>
  </si>
  <si>
    <t>Jerarquía</t>
  </si>
  <si>
    <t>Región</t>
  </si>
  <si>
    <t>Descripción</t>
  </si>
  <si>
    <t>Pago inicial</t>
  </si>
  <si>
    <t>Total primeros 12 meses</t>
  </si>
  <si>
    <t>Estado</t>
  </si>
  <si>
    <t>Resumen de configuración</t>
  </si>
  <si>
    <t>TCC - Despliegue PRI</t>
  </si>
  <si>
    <t>EE. UU. Este (N. Virginia)</t>
  </si>
  <si>
    <t>Tenencia (instancias compartidas), sistema operativo (Linux), carga de trabajo constante con 1 instancia, instancia EC2 t2.micro, estrategia de precios EC2 Instance Savings Plans a 3 años sin pago inicial, monitoreo deshabilitado y transferencia de datos no seleccionada (0 TB por mes).</t>
  </si>
  <si>
    <t>Tenencia (instancias compartidas), sistema operativo (Linux), carga de trabajo constante con 1 instancia, instancia EC2 t3.micro, estrategia de precios Compute Savings Plans a 3 años sin pago inicial, monitoreo deshabilitado, almacenamiento EBS de 8 GB y transferencia de datos no seleccionada (0 TB por mes).</t>
  </si>
  <si>
    <t>Solicitudes PUT, COPY, POST y LIST a S3 Standard (10 000), solicitudes GET, SELECT y otras solicitudes desde S3 Standard (10 000), almacenamiento S3 Standard de 1 GB por mes.</t>
  </si>
  <si>
    <t>Transferencia de datos entrante desde Internet (5 GB por mes) y transferencia saliente hacia Internet (5 GB por mes).</t>
  </si>
  <si>
    <t>Notas</t>
  </si>
  <si>
    <t>Propósito</t>
  </si>
  <si>
    <t>Estimación para un despliegue de 3 servicios solicitado en la rúbrica: EC2 para backend, S3/almacenamiento estático para frontend y transferencia de datos.</t>
  </si>
  <si>
    <t>Interpretación</t>
  </si>
  <si>
    <t>El total de 12 meses se calcula a partir de los costos mensuales. El costo inicial es cero en esta estimación.</t>
  </si>
  <si>
    <t>Reconocimiento</t>
  </si>
  <si>
    <t>AWS Pricing Calculator brinda solo una estimación. Los cargos reales pueden variar según uso real, impuestos y configuración de servicios.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</si>
</sst>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$#,##0.00"/>
  </numFmts>
  <fonts count="8">
    <font>
      <sz val="11.0"/>
      <color rgb="FF000000"/>
      <name val="Carlito"/>
      <scheme val="minor"/>
    </font>
    <font>
      <b/>
      <sz val="18.0"/>
      <color rgb="FFFFFFFF"/>
      <name val="Carlito"/>
    </font>
    <font>
      <i/>
      <sz val="11.0"/>
      <color rgb="FF1F4E78"/>
      <name val="Carlito"/>
    </font>
    <font>
      <b/>
      <sz val="11.0"/>
      <color rgb="FFFFFFFF"/>
      <name val="Carlito"/>
    </font>
    <font>
      <b/>
      <sz val="11.0"/>
      <color rgb="FF1F2937"/>
      <name val="Carlito"/>
    </font>
    <font>
      <sz val="11.0"/>
      <color theme="1"/>
      <name val="Carlito"/>
    </font>
    <font>
      <b/>
      <sz val="13.0"/>
      <color rgb="FFFFFFFF"/>
      <name val="Carlito"/>
    </font>
    <font>
      <b/>
      <sz val="11.0"/>
      <color rgb="FF000000"/>
      <name val="Carlito"/>
    </font>
  </fonts>
  <fills count="9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244062"/>
        <bgColor rgb="FF244062"/>
      </patternFill>
    </fill>
    <fill>
      <patternFill patternType="solid">
        <fgColor rgb="FFF2F6FA"/>
        <bgColor rgb="FFF2F6FA"/>
      </patternFill>
    </fill>
    <fill>
      <patternFill patternType="solid">
        <fgColor rgb="FF70AD47"/>
        <bgColor rgb="FF70AD47"/>
      </patternFill>
    </fill>
    <fill>
      <patternFill patternType="solid">
        <fgColor rgb="FFE2F0D9"/>
        <bgColor rgb="FFE2F0D9"/>
      </patternFill>
    </fill>
    <fill>
      <patternFill patternType="solid">
        <fgColor rgb="FFF4B183"/>
        <bgColor rgb="FFF4B183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horizontal="center" vertical="center"/>
    </xf>
    <xf borderId="0" fillId="4" fontId="3" numFmtId="0" xfId="0" applyAlignment="1" applyFill="1" applyFont="1">
      <alignment horizontal="center" vertical="center"/>
    </xf>
    <xf borderId="1" fillId="2" fontId="3" numFmtId="0" xfId="0" applyAlignment="1" applyBorder="1" applyFont="1">
      <alignment horizontal="center"/>
    </xf>
    <xf borderId="0" fillId="5" fontId="4" numFmtId="164" xfId="0" applyAlignment="1" applyFill="1" applyFont="1" applyNumberFormat="1">
      <alignment horizontal="center" vertical="center"/>
    </xf>
    <xf borderId="0" fillId="5" fontId="4" numFmtId="0" xfId="0" applyAlignment="1" applyFont="1">
      <alignment horizontal="center" vertical="center"/>
    </xf>
    <xf borderId="0" fillId="0" fontId="5" numFmtId="0" xfId="0" applyFont="1"/>
    <xf borderId="0" fillId="0" fontId="5" numFmtId="164" xfId="0" applyFont="1" applyNumberFormat="1"/>
    <xf borderId="0" fillId="6" fontId="6" numFmtId="0" xfId="0" applyAlignment="1" applyFill="1" applyFont="1">
      <alignment horizontal="left" vertical="center"/>
    </xf>
    <xf borderId="1" fillId="2" fontId="3" numFmtId="0" xfId="0" applyAlignment="1" applyBorder="1" applyFont="1">
      <alignment horizontal="center" shrinkToFit="0" vertical="center" wrapText="1"/>
    </xf>
    <xf borderId="0" fillId="0" fontId="5" numFmtId="0" xfId="0" applyAlignment="1" applyFont="1">
      <alignment shrinkToFit="0" vertical="top" wrapText="1"/>
    </xf>
    <xf borderId="0" fillId="0" fontId="5" numFmtId="0" xfId="0" applyAlignment="1" applyFont="1">
      <alignment readingOrder="0" shrinkToFit="0" vertical="top" wrapText="1"/>
    </xf>
    <xf borderId="0" fillId="0" fontId="5" numFmtId="164" xfId="0" applyAlignment="1" applyFont="1" applyNumberFormat="1">
      <alignment shrinkToFit="0" vertical="top" wrapText="1"/>
    </xf>
    <xf borderId="0" fillId="0" fontId="5" numFmtId="0" xfId="0" applyAlignment="1" applyFont="1">
      <alignment horizontal="center" shrinkToFit="0" vertical="top" wrapText="1"/>
    </xf>
    <xf borderId="0" fillId="7" fontId="4" numFmtId="0" xfId="0" applyAlignment="1" applyFill="1" applyFont="1">
      <alignment vertical="center"/>
    </xf>
    <xf borderId="0" fillId="7" fontId="4" numFmtId="164" xfId="0" applyAlignment="1" applyFont="1" applyNumberFormat="1">
      <alignment vertical="center"/>
    </xf>
    <xf borderId="0" fillId="8" fontId="7" numFmtId="0" xfId="0" applyAlignment="1" applyFill="1" applyFont="1">
      <alignment horizontal="left"/>
    </xf>
    <xf borderId="0" fillId="0" fontId="5" numFmtId="0" xfId="0" applyAlignment="1" applyFont="1">
      <alignment shrinkToFit="0" vertical="top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2">
    <tableStyle count="3" pivot="0" name="English Estimate-style">
      <tableStyleElement dxfId="1" type="headerRow"/>
      <tableStyleElement dxfId="2" type="firstRowStripe"/>
      <tableStyleElement dxfId="3" type="secondRowStripe"/>
    </tableStyle>
    <tableStyle count="3" pivot="0" name="Estimación Español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Monthly cost by service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Monthly cost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'English Estimate'!$L$5:$L$8</c:f>
            </c:strRef>
          </c:cat>
          <c:val>
            <c:numRef>
              <c:f>'English Estimate'!$M$5:$M$8</c:f>
              <c:numCache/>
            </c:numRef>
          </c:val>
        </c:ser>
        <c:axId val="1447888997"/>
        <c:axId val="218084127"/>
      </c:barChart>
      <c:catAx>
        <c:axId val="14478889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8084127"/>
      </c:catAx>
      <c:valAx>
        <c:axId val="21808412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47888997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Costo mensual por servicio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Costo mensual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'Estimación Español'!$L$5:$L$8</c:f>
            </c:strRef>
          </c:cat>
          <c:val>
            <c:numRef>
              <c:f>'Estimación Español'!$M$5:$M$8</c:f>
              <c:numCache/>
            </c:numRef>
          </c:val>
        </c:ser>
        <c:axId val="1709230929"/>
        <c:axId val="1494100987"/>
      </c:barChart>
      <c:catAx>
        <c:axId val="17092309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94100987"/>
      </c:catAx>
      <c:valAx>
        <c:axId val="149410098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709230929"/>
      </c:valAx>
    </c:plotArea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9</xdr:row>
      <xdr:rowOff>0</xdr:rowOff>
    </xdr:from>
    <xdr:ext cx="6838950" cy="6810375"/>
    <xdr:graphicFrame>
      <xdr:nvGraphicFramePr>
        <xdr:cNvPr id="13198719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0</xdr:colOff>
      <xdr:row>9</xdr:row>
      <xdr:rowOff>0</xdr:rowOff>
    </xdr:from>
    <xdr:ext cx="6838950" cy="6810375"/>
    <xdr:graphicFrame>
      <xdr:nvGraphicFramePr>
        <xdr:cNvPr id="20872123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ref="A10:J15" displayName="Table_1" name="Table_1" id="1">
  <tableColumns count="10">
    <tableColumn name="Group hierarchy" id="1"/>
    <tableColumn name="Region" id="2"/>
    <tableColumn name="Description" id="3"/>
    <tableColumn name="Service" id="4"/>
    <tableColumn name="Upfront" id="5"/>
    <tableColumn name="Monthly" id="6"/>
    <tableColumn name="First 12 months total" id="7"/>
    <tableColumn name="Currency" id="8"/>
    <tableColumn name="Status" id="9"/>
    <tableColumn name="Configuration summary" id="10"/>
  </tableColumns>
  <tableStyleInfo name="English Estimate-style" showColumnStripes="0" showFirstColumn="1" showLastColumn="1" showRowStripes="1"/>
</table>
</file>

<file path=xl/tables/table2.xml><?xml version="1.0" encoding="utf-8"?>
<table xmlns="http://schemas.openxmlformats.org/spreadsheetml/2006/main" ref="A10:J15" displayName="Table_2" name="Table_2" id="2">
  <tableColumns count="10">
    <tableColumn name="Jerarquía" id="1"/>
    <tableColumn name="Región" id="2"/>
    <tableColumn name="Descripción" id="3"/>
    <tableColumn name="Servicio" id="4"/>
    <tableColumn name="Pago inicial" id="5"/>
    <tableColumn name="Costo mensual" id="6"/>
    <tableColumn name="Total primeros 12 meses" id="7"/>
    <tableColumn name="Moneda" id="8"/>
    <tableColumn name="Estado" id="9"/>
    <tableColumn name="Resumen de configuración" id="10"/>
  </tableColumns>
  <tableStyleInfo name="Estimación Español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3" width="24.88"/>
    <col customWidth="1" min="4" max="4" width="18.0"/>
    <col customWidth="1" min="5" max="6" width="12.0"/>
    <col customWidth="1" min="7" max="7" width="18.0"/>
    <col customWidth="1" min="8" max="8" width="10.0"/>
    <col customWidth="1" min="9" max="9" width="12.0"/>
    <col customWidth="1" min="10" max="10" width="55.0"/>
    <col customWidth="1" min="11" max="11" width="4.0"/>
    <col customWidth="1" min="12" max="12" width="22.0"/>
    <col customWidth="1" min="13" max="13" width="16.0"/>
    <col customWidth="1" min="14" max="26" width="8.63"/>
  </cols>
  <sheetData>
    <row r="1" ht="30.0" customHeight="1">
      <c r="A1" s="1" t="s">
        <v>0</v>
      </c>
    </row>
    <row r="2" ht="21.75" customHeight="1">
      <c r="A2" s="2" t="s">
        <v>1</v>
      </c>
    </row>
    <row r="4">
      <c r="A4" s="3" t="s">
        <v>2</v>
      </c>
      <c r="B4" s="3" t="s">
        <v>3</v>
      </c>
      <c r="C4" s="3" t="s">
        <v>4</v>
      </c>
      <c r="D4" s="3" t="s">
        <v>5</v>
      </c>
      <c r="L4" s="4" t="s">
        <v>6</v>
      </c>
      <c r="M4" s="4" t="s">
        <v>3</v>
      </c>
    </row>
    <row r="5" ht="21.75" customHeight="1">
      <c r="A5" s="5">
        <f t="shared" ref="A5:C5" si="1">SUM(E11:E14)</f>
        <v>0</v>
      </c>
      <c r="B5" s="5">
        <f t="shared" si="1"/>
        <v>8.62</v>
      </c>
      <c r="C5" s="5">
        <f t="shared" si="1"/>
        <v>103.44</v>
      </c>
      <c r="D5" s="6" t="str">
        <f>"USD"</f>
        <v>USD</v>
      </c>
      <c r="L5" s="7" t="s">
        <v>7</v>
      </c>
      <c r="M5" s="8">
        <v>3.65</v>
      </c>
    </row>
    <row r="6">
      <c r="L6" s="7" t="s">
        <v>7</v>
      </c>
      <c r="M6" s="8">
        <v>4.44</v>
      </c>
    </row>
    <row r="7">
      <c r="L7" s="7" t="s">
        <v>8</v>
      </c>
      <c r="M7" s="8">
        <v>0.08</v>
      </c>
    </row>
    <row r="8" ht="24.0" customHeight="1">
      <c r="A8" s="9" t="s">
        <v>9</v>
      </c>
      <c r="L8" s="7" t="s">
        <v>10</v>
      </c>
      <c r="M8" s="8">
        <v>0.45</v>
      </c>
    </row>
    <row r="10" ht="30.0" customHeight="1">
      <c r="A10" s="10" t="s">
        <v>11</v>
      </c>
      <c r="B10" s="10" t="s">
        <v>12</v>
      </c>
      <c r="C10" s="10" t="s">
        <v>13</v>
      </c>
      <c r="D10" s="10" t="s">
        <v>6</v>
      </c>
      <c r="E10" s="10" t="s">
        <v>14</v>
      </c>
      <c r="F10" s="10" t="s">
        <v>15</v>
      </c>
      <c r="G10" s="10" t="s">
        <v>16</v>
      </c>
      <c r="H10" s="10" t="s">
        <v>5</v>
      </c>
      <c r="I10" s="10" t="s">
        <v>17</v>
      </c>
      <c r="J10" s="10" t="s">
        <v>18</v>
      </c>
    </row>
    <row r="11" ht="72.0" customHeight="1">
      <c r="A11" s="11" t="s">
        <v>19</v>
      </c>
      <c r="B11" s="11" t="s">
        <v>20</v>
      </c>
      <c r="C11" s="12" t="s">
        <v>21</v>
      </c>
      <c r="D11" s="11" t="s">
        <v>7</v>
      </c>
      <c r="E11" s="13">
        <v>0.0</v>
      </c>
      <c r="F11" s="13">
        <v>3.65</v>
      </c>
      <c r="G11" s="13">
        <f t="shared" ref="G11:G14" si="2">F11*12</f>
        <v>43.8</v>
      </c>
      <c r="H11" s="14" t="s">
        <v>22</v>
      </c>
      <c r="I11" s="11"/>
      <c r="J11" s="11" t="s">
        <v>23</v>
      </c>
    </row>
    <row r="12" ht="72.0" customHeight="1">
      <c r="A12" s="11" t="s">
        <v>19</v>
      </c>
      <c r="B12" s="11" t="s">
        <v>20</v>
      </c>
      <c r="C12" s="12" t="s">
        <v>24</v>
      </c>
      <c r="D12" s="11" t="s">
        <v>7</v>
      </c>
      <c r="E12" s="13">
        <v>0.0</v>
      </c>
      <c r="F12" s="13">
        <v>4.44</v>
      </c>
      <c r="G12" s="13">
        <f t="shared" si="2"/>
        <v>53.28</v>
      </c>
      <c r="H12" s="14" t="s">
        <v>22</v>
      </c>
      <c r="I12" s="11"/>
      <c r="J12" s="11" t="s">
        <v>25</v>
      </c>
    </row>
    <row r="13" ht="72.0" customHeight="1">
      <c r="A13" s="11" t="s">
        <v>19</v>
      </c>
      <c r="B13" s="11" t="s">
        <v>20</v>
      </c>
      <c r="C13" s="12" t="s">
        <v>26</v>
      </c>
      <c r="D13" s="11" t="s">
        <v>8</v>
      </c>
      <c r="E13" s="13">
        <v>0.0</v>
      </c>
      <c r="F13" s="13">
        <v>0.08</v>
      </c>
      <c r="G13" s="13">
        <f t="shared" si="2"/>
        <v>0.96</v>
      </c>
      <c r="H13" s="14" t="s">
        <v>22</v>
      </c>
      <c r="I13" s="11"/>
      <c r="J13" s="11" t="s">
        <v>27</v>
      </c>
    </row>
    <row r="14" ht="72.0" customHeight="1">
      <c r="A14" s="11" t="s">
        <v>19</v>
      </c>
      <c r="B14" s="11" t="s">
        <v>20</v>
      </c>
      <c r="C14" s="12" t="s">
        <v>28</v>
      </c>
      <c r="D14" s="11" t="s">
        <v>10</v>
      </c>
      <c r="E14" s="13">
        <v>0.0</v>
      </c>
      <c r="F14" s="13">
        <v>0.45</v>
      </c>
      <c r="G14" s="13">
        <f t="shared" si="2"/>
        <v>5.4</v>
      </c>
      <c r="H14" s="14" t="s">
        <v>22</v>
      </c>
      <c r="I14" s="11"/>
      <c r="J14" s="11" t="s">
        <v>29</v>
      </c>
    </row>
    <row r="15">
      <c r="A15" s="15"/>
      <c r="B15" s="15"/>
      <c r="C15" s="15"/>
      <c r="D15" s="15" t="s">
        <v>30</v>
      </c>
      <c r="E15" s="16">
        <f t="shared" ref="E15:G15" si="3">SUM(E11:E14)</f>
        <v>0</v>
      </c>
      <c r="F15" s="16">
        <f t="shared" si="3"/>
        <v>8.62</v>
      </c>
      <c r="G15" s="16">
        <f t="shared" si="3"/>
        <v>103.44</v>
      </c>
      <c r="H15" s="15" t="s">
        <v>22</v>
      </c>
      <c r="I15" s="15"/>
      <c r="J15" s="15"/>
    </row>
    <row r="18">
      <c r="A18" s="17" t="s">
        <v>31</v>
      </c>
    </row>
    <row r="19" ht="114.0" customHeight="1">
      <c r="A19" s="18" t="s">
        <v>32</v>
      </c>
      <c r="B19" s="18" t="s">
        <v>33</v>
      </c>
      <c r="C19" s="18"/>
      <c r="D19" s="18"/>
      <c r="E19" s="18"/>
      <c r="F19" s="18"/>
      <c r="G19" s="18"/>
      <c r="H19" s="18"/>
      <c r="I19" s="18"/>
      <c r="J19" s="18"/>
    </row>
    <row r="20" ht="93.0" customHeight="1">
      <c r="A20" s="18" t="s">
        <v>34</v>
      </c>
      <c r="B20" s="18" t="s">
        <v>35</v>
      </c>
      <c r="C20" s="18"/>
      <c r="D20" s="18"/>
      <c r="E20" s="18"/>
      <c r="F20" s="18"/>
      <c r="G20" s="18"/>
      <c r="H20" s="18"/>
      <c r="I20" s="18"/>
      <c r="J20" s="18"/>
    </row>
    <row r="21" ht="71.25" customHeight="1">
      <c r="A21" s="18" t="s">
        <v>36</v>
      </c>
      <c r="B21" s="18" t="s">
        <v>37</v>
      </c>
      <c r="C21" s="18"/>
      <c r="D21" s="18"/>
      <c r="E21" s="18"/>
      <c r="F21" s="18"/>
      <c r="G21" s="18"/>
      <c r="H21" s="18"/>
      <c r="I21" s="18"/>
      <c r="J21" s="18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J1"/>
    <mergeCell ref="A2:J2"/>
    <mergeCell ref="A8:J8"/>
    <mergeCell ref="A18:J18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0.0"/>
    <col customWidth="1" min="2" max="2" width="22.0"/>
    <col customWidth="1" min="3" max="3" width="14.0"/>
    <col customWidth="1" min="4" max="4" width="18.0"/>
    <col customWidth="1" min="5" max="6" width="12.0"/>
    <col customWidth="1" min="7" max="7" width="18.0"/>
    <col customWidth="1" min="8" max="8" width="10.0"/>
    <col customWidth="1" min="9" max="9" width="12.0"/>
    <col customWidth="1" min="10" max="10" width="55.0"/>
    <col customWidth="1" min="11" max="11" width="4.0"/>
    <col customWidth="1" min="12" max="12" width="22.0"/>
    <col customWidth="1" min="13" max="13" width="16.0"/>
    <col customWidth="1" min="14" max="26" width="8.63"/>
  </cols>
  <sheetData>
    <row r="1" ht="30.0" customHeight="1">
      <c r="A1" s="1" t="s">
        <v>38</v>
      </c>
    </row>
    <row r="2" ht="21.75" customHeight="1">
      <c r="A2" s="2" t="s">
        <v>39</v>
      </c>
    </row>
    <row r="4">
      <c r="A4" s="3" t="s">
        <v>40</v>
      </c>
      <c r="B4" s="3" t="s">
        <v>41</v>
      </c>
      <c r="C4" s="3" t="s">
        <v>42</v>
      </c>
      <c r="D4" s="3" t="s">
        <v>43</v>
      </c>
      <c r="L4" s="4" t="s">
        <v>44</v>
      </c>
      <c r="M4" s="4" t="s">
        <v>41</v>
      </c>
    </row>
    <row r="5" ht="21.75" customHeight="1">
      <c r="A5" s="5">
        <f t="shared" ref="A5:C5" si="1">SUM(E11:E14)</f>
        <v>0</v>
      </c>
      <c r="B5" s="5">
        <f t="shared" si="1"/>
        <v>8.62</v>
      </c>
      <c r="C5" s="5">
        <f t="shared" si="1"/>
        <v>103.44</v>
      </c>
      <c r="D5" s="6" t="str">
        <f>"USD"</f>
        <v>USD</v>
      </c>
      <c r="L5" s="7" t="s">
        <v>7</v>
      </c>
      <c r="M5" s="8">
        <v>3.65</v>
      </c>
    </row>
    <row r="6">
      <c r="L6" s="7" t="s">
        <v>7</v>
      </c>
      <c r="M6" s="8">
        <v>4.44</v>
      </c>
    </row>
    <row r="7">
      <c r="L7" s="7" t="s">
        <v>8</v>
      </c>
      <c r="M7" s="8">
        <v>0.08</v>
      </c>
    </row>
    <row r="8" ht="24.0" customHeight="1">
      <c r="A8" s="9" t="s">
        <v>45</v>
      </c>
      <c r="L8" s="7" t="s">
        <v>46</v>
      </c>
      <c r="M8" s="8">
        <v>0.45</v>
      </c>
    </row>
    <row r="10" ht="30.0" customHeight="1">
      <c r="A10" s="10" t="s">
        <v>47</v>
      </c>
      <c r="B10" s="10" t="s">
        <v>48</v>
      </c>
      <c r="C10" s="10" t="s">
        <v>49</v>
      </c>
      <c r="D10" s="10" t="s">
        <v>44</v>
      </c>
      <c r="E10" s="10" t="s">
        <v>50</v>
      </c>
      <c r="F10" s="10" t="s">
        <v>41</v>
      </c>
      <c r="G10" s="10" t="s">
        <v>51</v>
      </c>
      <c r="H10" s="10" t="s">
        <v>43</v>
      </c>
      <c r="I10" s="10" t="s">
        <v>52</v>
      </c>
      <c r="J10" s="10" t="s">
        <v>53</v>
      </c>
    </row>
    <row r="11" ht="72.0" customHeight="1">
      <c r="A11" s="11" t="s">
        <v>54</v>
      </c>
      <c r="B11" s="11" t="s">
        <v>55</v>
      </c>
      <c r="C11" s="11"/>
      <c r="D11" s="11" t="s">
        <v>7</v>
      </c>
      <c r="E11" s="13">
        <v>0.0</v>
      </c>
      <c r="F11" s="13">
        <v>3.65</v>
      </c>
      <c r="G11" s="13">
        <f t="shared" ref="G11:G14" si="2">F11*12</f>
        <v>43.8</v>
      </c>
      <c r="H11" s="11" t="s">
        <v>22</v>
      </c>
      <c r="I11" s="11"/>
      <c r="J11" s="11" t="s">
        <v>56</v>
      </c>
    </row>
    <row r="12" ht="72.0" customHeight="1">
      <c r="A12" s="11" t="s">
        <v>54</v>
      </c>
      <c r="B12" s="11" t="s">
        <v>55</v>
      </c>
      <c r="C12" s="11"/>
      <c r="D12" s="11" t="s">
        <v>7</v>
      </c>
      <c r="E12" s="13">
        <v>0.0</v>
      </c>
      <c r="F12" s="13">
        <v>4.44</v>
      </c>
      <c r="G12" s="13">
        <f t="shared" si="2"/>
        <v>53.28</v>
      </c>
      <c r="H12" s="11" t="s">
        <v>22</v>
      </c>
      <c r="I12" s="11"/>
      <c r="J12" s="11" t="s">
        <v>57</v>
      </c>
    </row>
    <row r="13" ht="72.0" customHeight="1">
      <c r="A13" s="11" t="s">
        <v>54</v>
      </c>
      <c r="B13" s="11" t="s">
        <v>55</v>
      </c>
      <c r="C13" s="11"/>
      <c r="D13" s="11" t="s">
        <v>8</v>
      </c>
      <c r="E13" s="13">
        <v>0.0</v>
      </c>
      <c r="F13" s="13">
        <v>0.08</v>
      </c>
      <c r="G13" s="13">
        <f t="shared" si="2"/>
        <v>0.96</v>
      </c>
      <c r="H13" s="11" t="s">
        <v>22</v>
      </c>
      <c r="I13" s="11"/>
      <c r="J13" s="11" t="s">
        <v>58</v>
      </c>
    </row>
    <row r="14" ht="72.0" customHeight="1">
      <c r="A14" s="11" t="s">
        <v>54</v>
      </c>
      <c r="B14" s="11" t="s">
        <v>55</v>
      </c>
      <c r="C14" s="11"/>
      <c r="D14" s="11" t="s">
        <v>46</v>
      </c>
      <c r="E14" s="13">
        <v>0.0</v>
      </c>
      <c r="F14" s="13">
        <v>0.45</v>
      </c>
      <c r="G14" s="13">
        <f t="shared" si="2"/>
        <v>5.4</v>
      </c>
      <c r="H14" s="11" t="s">
        <v>22</v>
      </c>
      <c r="I14" s="11"/>
      <c r="J14" s="11" t="s">
        <v>59</v>
      </c>
    </row>
    <row r="15">
      <c r="A15" s="15"/>
      <c r="B15" s="15"/>
      <c r="C15" s="15"/>
      <c r="D15" s="15" t="s">
        <v>30</v>
      </c>
      <c r="E15" s="16">
        <f t="shared" ref="E15:G15" si="3">SUM(E11:E14)</f>
        <v>0</v>
      </c>
      <c r="F15" s="16">
        <f t="shared" si="3"/>
        <v>8.62</v>
      </c>
      <c r="G15" s="16">
        <f t="shared" si="3"/>
        <v>103.44</v>
      </c>
      <c r="H15" s="15" t="s">
        <v>22</v>
      </c>
      <c r="I15" s="15"/>
      <c r="J15" s="15"/>
    </row>
    <row r="18">
      <c r="A18" s="17" t="s">
        <v>60</v>
      </c>
    </row>
    <row r="19" ht="132.0" customHeight="1">
      <c r="A19" s="18" t="s">
        <v>61</v>
      </c>
      <c r="B19" s="18" t="s">
        <v>62</v>
      </c>
      <c r="C19" s="18"/>
      <c r="D19" s="18"/>
      <c r="E19" s="18"/>
      <c r="F19" s="18"/>
      <c r="G19" s="18"/>
      <c r="H19" s="18"/>
      <c r="I19" s="18"/>
      <c r="J19" s="18"/>
    </row>
    <row r="20" ht="87.0" customHeight="1">
      <c r="A20" s="18" t="s">
        <v>63</v>
      </c>
      <c r="B20" s="18" t="s">
        <v>64</v>
      </c>
      <c r="C20" s="18"/>
      <c r="D20" s="18"/>
      <c r="E20" s="18"/>
      <c r="F20" s="18"/>
      <c r="G20" s="18"/>
      <c r="H20" s="18"/>
      <c r="I20" s="18"/>
      <c r="J20" s="18"/>
    </row>
    <row r="21" ht="94.5" customHeight="1">
      <c r="A21" s="18" t="s">
        <v>65</v>
      </c>
      <c r="B21" s="18" t="s">
        <v>66</v>
      </c>
      <c r="C21" s="18"/>
      <c r="D21" s="18"/>
      <c r="E21" s="18"/>
      <c r="F21" s="18"/>
      <c r="G21" s="18"/>
      <c r="H21" s="18"/>
      <c r="I21" s="18"/>
      <c r="J21" s="18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J1"/>
    <mergeCell ref="A2:J2"/>
    <mergeCell ref="A8:J8"/>
    <mergeCell ref="A18:J18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